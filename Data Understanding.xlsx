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1" activeTab="1"/>
  </bookViews>
  <sheets>
    <sheet name="Data Dictionary" sheetId="2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<sst xmlns="http://schemas.openxmlformats.org/spreadsheetml/2006/main" count="178" uniqueCount="117">
  <si>
    <t>#</t>
  </si>
  <si>
    <t>Variable</t>
  </si>
  <si>
    <t>Definition/Descriptions</t>
  </si>
  <si>
    <t>Data Type 1</t>
  </si>
  <si>
    <t>Data Type 2</t>
  </si>
  <si>
    <t>Values</t>
  </si>
  <si>
    <t>Notes</t>
  </si>
  <si>
    <t>Retail Order ID</t>
  </si>
  <si>
    <t>Unique retail order identifier</t>
  </si>
  <si>
    <t>Number</t>
  </si>
  <si>
    <t>Qualitative</t>
  </si>
  <si>
    <t>[1, 9994]</t>
  </si>
  <si>
    <t>Order ID</t>
  </si>
  <si>
    <t>General order identifier</t>
  </si>
  <si>
    <t xml:space="preserve">String </t>
  </si>
  <si>
    <t>Quantitative</t>
  </si>
  <si>
    <t>CA-2016-152156,…</t>
  </si>
  <si>
    <t>Order Date</t>
  </si>
  <si>
    <t>Date the order was placed</t>
  </si>
  <si>
    <t>Date Time</t>
  </si>
  <si>
    <t>[2014-01-02, 2017-12-30]</t>
  </si>
  <si>
    <t>Ship Date</t>
  </si>
  <si>
    <t>Actual shipping date</t>
  </si>
  <si>
    <t>[2014-01-15, 2018-05-01]</t>
  </si>
  <si>
    <t>Ship Mode</t>
  </si>
  <si>
    <t>Shipping method</t>
  </si>
  <si>
    <t>Standard, First Class, Second Class, Same Day</t>
  </si>
  <si>
    <t>Customer ID</t>
  </si>
  <si>
    <t>Unique customer identifier</t>
  </si>
  <si>
    <t>CG-12520,..</t>
  </si>
  <si>
    <t>Customer Name</t>
  </si>
  <si>
    <t>Full name of the customer</t>
  </si>
  <si>
    <t>Claire Gute,..</t>
  </si>
  <si>
    <t>Segment</t>
  </si>
  <si>
    <t>Customer segment</t>
  </si>
  <si>
    <t>Consumer, Corporate, Home Office</t>
  </si>
  <si>
    <t xml:space="preserve">Consumer: Khách hàng cá nhân mua để sử dụng
Corporate : DN, Cty mua để kinh doanh 
Home Office: Các văn phòng nhỏ  </t>
  </si>
  <si>
    <t>Postal Code</t>
  </si>
  <si>
    <t>Zip/Postal code</t>
  </si>
  <si>
    <t>42420,…</t>
  </si>
  <si>
    <t>Country</t>
  </si>
  <si>
    <t>Country of the customer</t>
  </si>
  <si>
    <t>United States,..</t>
  </si>
  <si>
    <t>City</t>
  </si>
  <si>
    <t>City where the order was placed</t>
  </si>
  <si>
    <t>Los Angeles,..</t>
  </si>
  <si>
    <t>State</t>
  </si>
  <si>
    <t>State/Province of the customer</t>
  </si>
  <si>
    <t>Kentucky,..</t>
  </si>
  <si>
    <t>Region</t>
  </si>
  <si>
    <t>Sales region</t>
  </si>
  <si>
    <t>South,…</t>
  </si>
  <si>
    <t>latitude</t>
  </si>
  <si>
    <t>Geographical latitude</t>
  </si>
  <si>
    <t>longitude</t>
  </si>
  <si>
    <t>Geographical longitude</t>
  </si>
  <si>
    <t>Retail Sales People</t>
  </si>
  <si>
    <t>Retail sales representatives</t>
  </si>
  <si>
    <t>Cassandra Brandow,…</t>
  </si>
  <si>
    <t>Product ID</t>
  </si>
  <si>
    <t>Unique product identifier</t>
  </si>
  <si>
    <t>FUR-BO-10001798,..</t>
  </si>
  <si>
    <t>Product Name</t>
  </si>
  <si>
    <t>Name of Products</t>
  </si>
  <si>
    <t>Bush Somerset Collection Bookcase,…</t>
  </si>
  <si>
    <t>1818 unique values</t>
  </si>
  <si>
    <t>Sub-Category</t>
  </si>
  <si>
    <t>Product sub-category</t>
  </si>
  <si>
    <t>Bookcases,…</t>
  </si>
  <si>
    <t>17 unique values</t>
  </si>
  <si>
    <t>Category</t>
  </si>
  <si>
    <t>Product category</t>
  </si>
  <si>
    <t>Furniture, Office Supplies, Technology</t>
  </si>
  <si>
    <t>Returned</t>
  </si>
  <si>
    <t>Return status</t>
  </si>
  <si>
    <t xml:space="preserve">Boolean </t>
  </si>
  <si>
    <t>No/Yes</t>
  </si>
  <si>
    <t>Sales</t>
  </si>
  <si>
    <t>Revenue generated from the order</t>
  </si>
  <si>
    <t>[0.444, 22638.48]</t>
  </si>
  <si>
    <t>Quantity</t>
  </si>
  <si>
    <t>Number of units sold</t>
  </si>
  <si>
    <t>[1, 14]</t>
  </si>
  <si>
    <t>Discount</t>
  </si>
  <si>
    <t>Discount applied to the order</t>
  </si>
  <si>
    <t>[0, 0.8]</t>
  </si>
  <si>
    <t>Profit</t>
  </si>
  <si>
    <t>Profit from the order</t>
  </si>
  <si>
    <t>[-6599.978, 8399.976]</t>
  </si>
  <si>
    <t>Cost</t>
  </si>
  <si>
    <t>Original cost of the order</t>
  </si>
  <si>
    <t>[0.5544, 24449.5584]</t>
  </si>
  <si>
    <t>Unit CP</t>
  </si>
  <si>
    <t>Cost price per unit</t>
  </si>
  <si>
    <t>[0.5445, 4074.9264]</t>
  </si>
  <si>
    <t>Unit SP</t>
  </si>
  <si>
    <t>Selling price per unit</t>
  </si>
  <si>
    <t>[0.336, 3773.08]</t>
  </si>
  <si>
    <t>Days</t>
  </si>
  <si>
    <t>Actual delivery days</t>
  </si>
  <si>
    <t>[0, 214]</t>
  </si>
  <si>
    <t>Trường quan trọng</t>
  </si>
  <si>
    <t>Foreign Key</t>
  </si>
  <si>
    <t>Bảng chứa khóa ngoại</t>
  </si>
  <si>
    <t>Số lượng bản ghi unique</t>
  </si>
  <si>
    <t>Phân phối dữ liệu (với các trường numerical), gồm: min, p25, p50, p75, max) --&gt; xem dữ liệu có bất thường ko</t>
  </si>
  <si>
    <t>Outliers</t>
  </si>
  <si>
    <t>%Outliers</t>
  </si>
  <si>
    <t>Tính đầy đủ của dữ liệu (% missing values)</t>
  </si>
  <si>
    <t>Hướng xử lí missing values</t>
  </si>
  <si>
    <t>Đề xuất chung cải thiện chất lượng dữ liệu</t>
  </si>
  <si>
    <t>Câu hỏi</t>
  </si>
  <si>
    <t>min</t>
  </si>
  <si>
    <t>p25 (Q1)</t>
  </si>
  <si>
    <t>p50 (Q2)</t>
  </si>
  <si>
    <t>p75 (Q3)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</si>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</sst>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rgb="FF212121"/>
      <name val="Roboto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7" applyNumberFormat="0" applyAlignment="0" applyProtection="0"/>
    <xf numFmtId="0" fontId="19" fillId="9" borderId="18" applyNumberFormat="0" applyAlignment="0" applyProtection="0"/>
    <xf numFmtId="0" fontId="20" fillId="9" borderId="17" applyNumberFormat="0" applyAlignment="0" applyProtection="0"/>
    <xf numFmtId="0" fontId="21" fillId="10" borderId="19" applyNumberFormat="0" applyAlignment="0" applyProtection="0"/>
    <xf numFmtId="0" fontId="22" fillId="0" borderId="20" applyNumberFormat="0" applyFill="0" applyAlignment="0" applyProtection="0"/>
    <xf numFmtId="0" fontId="23" fillId="0" borderId="21" applyNumberFormat="0" applyFill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7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7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" fillId="0" borderId="8" xfId="0" applyFont="1" applyBorder="1"/>
    <xf numFmtId="0" fontId="1" fillId="0" borderId="6" xfId="0" applyFont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3" fillId="4" borderId="8" xfId="0" applyFont="1" applyFill="1" applyBorder="1"/>
    <xf numFmtId="0" fontId="1" fillId="0" borderId="6" xfId="0" applyFont="1" applyBorder="1" applyAlignment="1">
      <alignment horizontal="right" wrapText="1"/>
    </xf>
    <xf numFmtId="0" fontId="1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vertical="center"/>
    </xf>
    <xf numFmtId="0" fontId="2" fillId="2" borderId="11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0" fontId="6" fillId="0" borderId="0" xfId="0" applyFont="1"/>
    <xf numFmtId="0" fontId="7" fillId="2" borderId="12" xfId="0" applyFont="1" applyFill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3" fillId="6" borderId="8" xfId="0" applyFont="1" applyFill="1" applyBorder="1"/>
    <xf numFmtId="0" fontId="8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8" xfId="0" applyFont="1" applyBorder="1" applyAlignment="1">
      <alignment vertical="top" wrapText="1"/>
    </xf>
    <xf numFmtId="0" fontId="6" fillId="0" borderId="8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B18" sqref="B18"/>
    </sheetView>
  </sheetViews>
  <sheetFormatPr defaultColWidth="9" defaultRowHeight="14" outlineLevelCol="6"/>
  <cols>
    <col min="1" max="1" width="8.72727272727273" style="19"/>
    <col min="2" max="2" width="17.7272727272727" style="19" customWidth="1"/>
    <col min="3" max="3" width="35.6363636363636" style="19" customWidth="1"/>
    <col min="4" max="4" width="13.1818181818182" style="19" customWidth="1"/>
    <col min="5" max="5" width="12.1818181818182" style="19" customWidth="1"/>
    <col min="6" max="6" width="29.5454545454545" style="19" customWidth="1"/>
    <col min="7" max="7" width="39.1818181818182" style="19" customWidth="1"/>
    <col min="8" max="16384" width="8.72727272727273" style="19"/>
  </cols>
  <sheetData>
    <row r="1" ht="15" spans="1:7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ht="15.5" spans="1:7">
      <c r="A2" s="21">
        <v>1</v>
      </c>
      <c r="B2" s="22" t="s">
        <v>7</v>
      </c>
      <c r="C2" s="23" t="s">
        <v>8</v>
      </c>
      <c r="D2" s="23" t="s">
        <v>9</v>
      </c>
      <c r="E2" s="23" t="s">
        <v>10</v>
      </c>
      <c r="F2" s="23" t="s">
        <v>11</v>
      </c>
      <c r="G2" s="23"/>
    </row>
    <row r="3" ht="15.5" spans="1:7">
      <c r="A3" s="21">
        <v>2</v>
      </c>
      <c r="B3" s="10" t="s">
        <v>12</v>
      </c>
      <c r="C3" s="23" t="s">
        <v>13</v>
      </c>
      <c r="D3" s="23" t="s">
        <v>14</v>
      </c>
      <c r="E3" s="23" t="s">
        <v>15</v>
      </c>
      <c r="F3" s="23" t="s">
        <v>16</v>
      </c>
      <c r="G3" s="23"/>
    </row>
    <row r="4" ht="15.5" spans="1:7">
      <c r="A4" s="21">
        <v>3</v>
      </c>
      <c r="B4" s="10" t="s">
        <v>17</v>
      </c>
      <c r="C4" s="23" t="s">
        <v>18</v>
      </c>
      <c r="D4" s="23" t="s">
        <v>19</v>
      </c>
      <c r="E4" s="23" t="s">
        <v>15</v>
      </c>
      <c r="F4" s="23" t="s">
        <v>20</v>
      </c>
      <c r="G4" s="23"/>
    </row>
    <row r="5" ht="15.5" spans="1:7">
      <c r="A5" s="21">
        <v>4</v>
      </c>
      <c r="B5" s="10" t="s">
        <v>21</v>
      </c>
      <c r="C5" s="23" t="s">
        <v>22</v>
      </c>
      <c r="D5" s="23" t="s">
        <v>19</v>
      </c>
      <c r="E5" s="23" t="s">
        <v>15</v>
      </c>
      <c r="F5" s="23" t="s">
        <v>23</v>
      </c>
      <c r="G5" s="23"/>
    </row>
    <row r="6" ht="31" spans="1:7">
      <c r="A6" s="21">
        <v>5</v>
      </c>
      <c r="B6" s="10" t="s">
        <v>24</v>
      </c>
      <c r="C6" s="23" t="s">
        <v>25</v>
      </c>
      <c r="D6" s="23" t="s">
        <v>14</v>
      </c>
      <c r="E6" s="23" t="s">
        <v>10</v>
      </c>
      <c r="F6" s="23" t="s">
        <v>26</v>
      </c>
      <c r="G6" s="23"/>
    </row>
    <row r="7" ht="15.5" spans="1:7">
      <c r="A7" s="21">
        <v>6</v>
      </c>
      <c r="B7" s="10" t="s">
        <v>27</v>
      </c>
      <c r="C7" s="23" t="s">
        <v>28</v>
      </c>
      <c r="D7" s="23" t="s">
        <v>14</v>
      </c>
      <c r="E7" s="23" t="s">
        <v>10</v>
      </c>
      <c r="F7" s="23" t="s">
        <v>29</v>
      </c>
      <c r="G7" s="23"/>
    </row>
    <row r="8" ht="15.5" spans="1:7">
      <c r="A8" s="21">
        <v>7</v>
      </c>
      <c r="B8" s="10" t="s">
        <v>30</v>
      </c>
      <c r="C8" s="23" t="s">
        <v>31</v>
      </c>
      <c r="D8" s="23" t="s">
        <v>14</v>
      </c>
      <c r="E8" s="23" t="s">
        <v>10</v>
      </c>
      <c r="F8" s="23" t="s">
        <v>32</v>
      </c>
      <c r="G8" s="23"/>
    </row>
    <row r="9" ht="62" spans="1:7">
      <c r="A9" s="21">
        <v>8</v>
      </c>
      <c r="B9" s="24" t="s">
        <v>33</v>
      </c>
      <c r="C9" s="25" t="s">
        <v>34</v>
      </c>
      <c r="D9" s="26" t="s">
        <v>14</v>
      </c>
      <c r="E9" s="26" t="s">
        <v>10</v>
      </c>
      <c r="F9" s="25" t="s">
        <v>35</v>
      </c>
      <c r="G9" s="26" t="s">
        <v>36</v>
      </c>
    </row>
    <row r="10" ht="15.5" spans="1:7">
      <c r="A10" s="21">
        <v>9</v>
      </c>
      <c r="B10" s="22" t="s">
        <v>37</v>
      </c>
      <c r="C10" s="27" t="s">
        <v>38</v>
      </c>
      <c r="D10" s="27" t="s">
        <v>9</v>
      </c>
      <c r="E10" s="27" t="s">
        <v>10</v>
      </c>
      <c r="F10" s="27" t="s">
        <v>39</v>
      </c>
      <c r="G10" s="27"/>
    </row>
    <row r="11" ht="15.5" spans="1:7">
      <c r="A11" s="21">
        <v>10</v>
      </c>
      <c r="B11" s="10" t="s">
        <v>40</v>
      </c>
      <c r="C11" s="27" t="s">
        <v>41</v>
      </c>
      <c r="D11" s="27" t="s">
        <v>14</v>
      </c>
      <c r="E11" s="27" t="s">
        <v>10</v>
      </c>
      <c r="F11" s="27" t="s">
        <v>42</v>
      </c>
      <c r="G11" s="27"/>
    </row>
    <row r="12" ht="15.5" spans="1:7">
      <c r="A12" s="21">
        <v>11</v>
      </c>
      <c r="B12" s="10" t="s">
        <v>43</v>
      </c>
      <c r="C12" s="27" t="s">
        <v>44</v>
      </c>
      <c r="D12" s="27" t="s">
        <v>14</v>
      </c>
      <c r="E12" s="27" t="s">
        <v>10</v>
      </c>
      <c r="F12" s="27" t="s">
        <v>45</v>
      </c>
      <c r="G12" s="27"/>
    </row>
    <row r="13" ht="15.5" spans="1:7">
      <c r="A13" s="21">
        <v>12</v>
      </c>
      <c r="B13" s="10" t="s">
        <v>46</v>
      </c>
      <c r="C13" s="27" t="s">
        <v>47</v>
      </c>
      <c r="D13" s="27" t="s">
        <v>14</v>
      </c>
      <c r="E13" s="27" t="s">
        <v>10</v>
      </c>
      <c r="F13" s="27" t="s">
        <v>48</v>
      </c>
      <c r="G13" s="27"/>
    </row>
    <row r="14" ht="15.5" spans="1:7">
      <c r="A14" s="21">
        <v>13</v>
      </c>
      <c r="B14" s="10" t="s">
        <v>49</v>
      </c>
      <c r="C14" s="27" t="s">
        <v>50</v>
      </c>
      <c r="D14" s="27" t="s">
        <v>14</v>
      </c>
      <c r="E14" s="27" t="s">
        <v>10</v>
      </c>
      <c r="F14" s="27" t="s">
        <v>51</v>
      </c>
      <c r="G14" s="27"/>
    </row>
    <row r="15" ht="15.5" spans="1:7">
      <c r="A15" s="21">
        <v>14</v>
      </c>
      <c r="B15" s="10" t="s">
        <v>52</v>
      </c>
      <c r="C15" s="27" t="s">
        <v>53</v>
      </c>
      <c r="D15" s="27" t="s">
        <v>9</v>
      </c>
      <c r="E15" s="27" t="s">
        <v>10</v>
      </c>
      <c r="F15" s="27"/>
      <c r="G15" s="27"/>
    </row>
    <row r="16" ht="15.5" spans="1:7">
      <c r="A16" s="21">
        <v>15</v>
      </c>
      <c r="B16" s="10" t="s">
        <v>54</v>
      </c>
      <c r="C16" s="27" t="s">
        <v>55</v>
      </c>
      <c r="D16" s="27" t="s">
        <v>9</v>
      </c>
      <c r="E16" s="27" t="s">
        <v>10</v>
      </c>
      <c r="F16" s="27"/>
      <c r="G16" s="27"/>
    </row>
    <row r="17" ht="15.5" spans="1:7">
      <c r="A17" s="21">
        <v>16</v>
      </c>
      <c r="B17" s="10" t="s">
        <v>56</v>
      </c>
      <c r="C17" s="27" t="s">
        <v>57</v>
      </c>
      <c r="D17" s="27" t="s">
        <v>14</v>
      </c>
      <c r="E17" s="27" t="s">
        <v>10</v>
      </c>
      <c r="F17" s="27" t="s">
        <v>58</v>
      </c>
      <c r="G17" s="27"/>
    </row>
    <row r="18" ht="15.5" spans="1:7">
      <c r="A18" s="21">
        <v>17</v>
      </c>
      <c r="B18" s="10" t="s">
        <v>59</v>
      </c>
      <c r="C18" s="27" t="s">
        <v>60</v>
      </c>
      <c r="D18" s="27" t="s">
        <v>14</v>
      </c>
      <c r="E18" s="27" t="s">
        <v>10</v>
      </c>
      <c r="F18" s="27" t="s">
        <v>61</v>
      </c>
      <c r="G18" s="27"/>
    </row>
    <row r="19" ht="15.5" spans="1:7">
      <c r="A19" s="21">
        <v>18</v>
      </c>
      <c r="B19" s="10" t="s">
        <v>62</v>
      </c>
      <c r="C19" s="27" t="s">
        <v>63</v>
      </c>
      <c r="D19" s="27" t="s">
        <v>14</v>
      </c>
      <c r="E19" s="27" t="s">
        <v>10</v>
      </c>
      <c r="F19" s="27" t="s">
        <v>64</v>
      </c>
      <c r="G19" s="27" t="s">
        <v>65</v>
      </c>
    </row>
    <row r="20" ht="15.5" spans="1:7">
      <c r="A20" s="21">
        <v>19</v>
      </c>
      <c r="B20" s="10" t="s">
        <v>66</v>
      </c>
      <c r="C20" s="27" t="s">
        <v>67</v>
      </c>
      <c r="D20" s="27" t="s">
        <v>14</v>
      </c>
      <c r="E20" s="27" t="s">
        <v>10</v>
      </c>
      <c r="F20" s="27" t="s">
        <v>68</v>
      </c>
      <c r="G20" s="27" t="s">
        <v>69</v>
      </c>
    </row>
    <row r="21" ht="15.5" spans="1:7">
      <c r="A21" s="21">
        <v>20</v>
      </c>
      <c r="B21" s="10" t="s">
        <v>70</v>
      </c>
      <c r="C21" s="27" t="s">
        <v>71</v>
      </c>
      <c r="D21" s="27" t="s">
        <v>14</v>
      </c>
      <c r="E21" s="27" t="s">
        <v>10</v>
      </c>
      <c r="F21" s="19" t="s">
        <v>72</v>
      </c>
      <c r="G21" s="27"/>
    </row>
    <row r="22" ht="15.5" spans="1:7">
      <c r="A22" s="21">
        <v>21</v>
      </c>
      <c r="B22" s="10" t="s">
        <v>73</v>
      </c>
      <c r="C22" s="27" t="s">
        <v>74</v>
      </c>
      <c r="D22" s="19" t="s">
        <v>75</v>
      </c>
      <c r="E22" s="27" t="s">
        <v>10</v>
      </c>
      <c r="F22" s="27" t="s">
        <v>76</v>
      </c>
      <c r="G22" s="27"/>
    </row>
    <row r="23" ht="15.5" spans="1:7">
      <c r="A23" s="21">
        <v>22</v>
      </c>
      <c r="B23" s="10" t="s">
        <v>77</v>
      </c>
      <c r="C23" s="27" t="s">
        <v>78</v>
      </c>
      <c r="D23" s="27" t="s">
        <v>9</v>
      </c>
      <c r="E23" s="27" t="s">
        <v>15</v>
      </c>
      <c r="F23" s="27" t="s">
        <v>79</v>
      </c>
      <c r="G23" s="27"/>
    </row>
    <row r="24" ht="15.5" spans="1:7">
      <c r="A24" s="21">
        <v>23</v>
      </c>
      <c r="B24" s="22" t="s">
        <v>80</v>
      </c>
      <c r="C24" s="27" t="s">
        <v>81</v>
      </c>
      <c r="D24" s="27" t="s">
        <v>9</v>
      </c>
      <c r="E24" s="27" t="s">
        <v>15</v>
      </c>
      <c r="F24" s="27" t="s">
        <v>82</v>
      </c>
      <c r="G24" s="27"/>
    </row>
    <row r="25" ht="15.5" spans="1:7">
      <c r="A25" s="21">
        <v>24</v>
      </c>
      <c r="B25" s="10" t="s">
        <v>83</v>
      </c>
      <c r="C25" s="27" t="s">
        <v>84</v>
      </c>
      <c r="D25" s="27" t="s">
        <v>9</v>
      </c>
      <c r="E25" s="27" t="s">
        <v>15</v>
      </c>
      <c r="F25" s="27" t="s">
        <v>85</v>
      </c>
      <c r="G25" s="27"/>
    </row>
    <row r="26" ht="15.5" spans="1:7">
      <c r="A26" s="21">
        <v>25</v>
      </c>
      <c r="B26" s="10" t="s">
        <v>86</v>
      </c>
      <c r="C26" s="27" t="s">
        <v>87</v>
      </c>
      <c r="D26" s="27" t="s">
        <v>9</v>
      </c>
      <c r="E26" s="27" t="s">
        <v>15</v>
      </c>
      <c r="F26" s="27" t="s">
        <v>88</v>
      </c>
      <c r="G26" s="27"/>
    </row>
    <row r="27" ht="15.5" spans="1:7">
      <c r="A27" s="21">
        <v>26</v>
      </c>
      <c r="B27" s="10" t="s">
        <v>89</v>
      </c>
      <c r="C27" s="27" t="s">
        <v>90</v>
      </c>
      <c r="D27" s="27" t="s">
        <v>9</v>
      </c>
      <c r="E27" s="27" t="s">
        <v>15</v>
      </c>
      <c r="F27" s="27" t="s">
        <v>91</v>
      </c>
      <c r="G27" s="27"/>
    </row>
    <row r="28" ht="15.5" spans="1:7">
      <c r="A28" s="21">
        <v>27</v>
      </c>
      <c r="B28" s="10" t="s">
        <v>92</v>
      </c>
      <c r="C28" s="27" t="s">
        <v>93</v>
      </c>
      <c r="D28" s="27" t="s">
        <v>9</v>
      </c>
      <c r="E28" s="27" t="s">
        <v>15</v>
      </c>
      <c r="F28" s="27" t="s">
        <v>94</v>
      </c>
      <c r="G28" s="27"/>
    </row>
    <row r="29" ht="15.5" spans="1:7">
      <c r="A29" s="21">
        <v>28</v>
      </c>
      <c r="B29" s="10" t="s">
        <v>95</v>
      </c>
      <c r="C29" s="27" t="s">
        <v>96</v>
      </c>
      <c r="D29" s="27" t="s">
        <v>9</v>
      </c>
      <c r="E29" s="27" t="s">
        <v>15</v>
      </c>
      <c r="F29" s="27" t="s">
        <v>97</v>
      </c>
      <c r="G29" s="27"/>
    </row>
    <row r="30" ht="15.5" spans="1:7">
      <c r="A30" s="21">
        <v>29</v>
      </c>
      <c r="B30" s="22" t="s">
        <v>98</v>
      </c>
      <c r="C30" s="27" t="s">
        <v>99</v>
      </c>
      <c r="D30" s="27" t="s">
        <v>9</v>
      </c>
      <c r="E30" s="27" t="s">
        <v>15</v>
      </c>
      <c r="F30" s="27" t="s">
        <v>100</v>
      </c>
      <c r="G30" s="2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C4" sqref="C4"/>
    </sheetView>
  </sheetViews>
  <sheetFormatPr defaultColWidth="9" defaultRowHeight="14"/>
  <cols>
    <col min="2" max="2" width="28.1818181818182" customWidth="1"/>
    <col min="10" max="10" width="9" customWidth="1"/>
    <col min="12" max="12" width="8.18181818181818" customWidth="1"/>
  </cols>
  <sheetData>
    <row r="1" ht="63" customHeight="1" spans="1:16">
      <c r="A1" s="1" t="s">
        <v>0</v>
      </c>
      <c r="B1" s="2" t="s">
        <v>101</v>
      </c>
      <c r="C1" s="2" t="s">
        <v>102</v>
      </c>
      <c r="D1" s="2" t="s">
        <v>103</v>
      </c>
      <c r="E1" s="2" t="s">
        <v>104</v>
      </c>
      <c r="F1" s="3" t="s">
        <v>105</v>
      </c>
      <c r="G1" s="4"/>
      <c r="H1" s="4"/>
      <c r="I1" s="4"/>
      <c r="J1" s="17"/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</row>
    <row r="2" ht="14.75" spans="1:16">
      <c r="A2" s="5"/>
      <c r="B2" s="6"/>
      <c r="C2" s="7"/>
      <c r="D2" s="7"/>
      <c r="E2" s="7"/>
      <c r="F2" s="8" t="s">
        <v>112</v>
      </c>
      <c r="G2" s="8" t="s">
        <v>113</v>
      </c>
      <c r="H2" s="8" t="s">
        <v>114</v>
      </c>
      <c r="I2" s="8" t="s">
        <v>115</v>
      </c>
      <c r="J2" s="8" t="s">
        <v>116</v>
      </c>
      <c r="K2" s="7"/>
      <c r="L2" s="7"/>
      <c r="M2" s="7"/>
      <c r="N2" s="7"/>
      <c r="O2" s="7"/>
      <c r="P2" s="7"/>
    </row>
    <row r="3" ht="14.75" spans="1:16">
      <c r="A3" s="9">
        <v>1</v>
      </c>
      <c r="B3" s="10" t="s">
        <v>77</v>
      </c>
      <c r="C3" s="11"/>
      <c r="D3" s="11"/>
      <c r="E3" s="11"/>
      <c r="F3" s="12">
        <v>0.444</v>
      </c>
      <c r="G3" s="12">
        <v>17.28</v>
      </c>
      <c r="H3" s="12">
        <v>54.49</v>
      </c>
      <c r="I3" s="12">
        <v>209.94</v>
      </c>
      <c r="J3" s="12">
        <v>22638.48</v>
      </c>
      <c r="K3" s="11">
        <v>1167</v>
      </c>
      <c r="L3" s="11">
        <v>11.677</v>
      </c>
      <c r="M3" s="11"/>
      <c r="N3" s="11"/>
      <c r="O3" s="11"/>
      <c r="P3" s="11"/>
    </row>
    <row r="4" ht="14.75" spans="1:16">
      <c r="A4" s="9">
        <v>2</v>
      </c>
      <c r="B4" s="13" t="s">
        <v>80</v>
      </c>
      <c r="C4" s="11"/>
      <c r="D4" s="11"/>
      <c r="E4" s="11"/>
      <c r="F4" s="12">
        <v>1</v>
      </c>
      <c r="G4" s="12">
        <v>2</v>
      </c>
      <c r="H4" s="12">
        <v>3</v>
      </c>
      <c r="I4" s="12">
        <v>5</v>
      </c>
      <c r="J4" s="12">
        <v>14</v>
      </c>
      <c r="K4" s="11">
        <v>170</v>
      </c>
      <c r="L4" s="11">
        <v>1.7</v>
      </c>
      <c r="M4" s="11"/>
      <c r="N4" s="11"/>
      <c r="O4" s="11"/>
      <c r="P4" s="11"/>
    </row>
    <row r="5" ht="14.75" spans="1:16">
      <c r="A5" s="9">
        <v>3</v>
      </c>
      <c r="B5" s="10" t="s">
        <v>83</v>
      </c>
      <c r="C5" s="11"/>
      <c r="D5" s="11"/>
      <c r="E5" s="11"/>
      <c r="F5" s="12">
        <v>0</v>
      </c>
      <c r="G5" s="12">
        <v>0</v>
      </c>
      <c r="H5" s="12">
        <v>0.2</v>
      </c>
      <c r="I5" s="12">
        <v>0.2</v>
      </c>
      <c r="J5" s="12">
        <v>0.8</v>
      </c>
      <c r="K5" s="11">
        <v>856</v>
      </c>
      <c r="L5" s="11">
        <v>8.565</v>
      </c>
      <c r="M5" s="11"/>
      <c r="N5" s="11"/>
      <c r="O5" s="11"/>
      <c r="P5" s="11"/>
    </row>
    <row r="6" ht="14.75" spans="1:16">
      <c r="A6" s="9">
        <v>4</v>
      </c>
      <c r="B6" s="10" t="s">
        <v>86</v>
      </c>
      <c r="C6" s="11"/>
      <c r="D6" s="11"/>
      <c r="E6" s="11"/>
      <c r="F6" s="12">
        <v>-6599.978</v>
      </c>
      <c r="G6" s="12">
        <v>1.72875</v>
      </c>
      <c r="H6" s="12">
        <v>8.6665</v>
      </c>
      <c r="I6" s="12">
        <v>29.364</v>
      </c>
      <c r="J6" s="12">
        <v>8399.976</v>
      </c>
      <c r="K6" s="11">
        <v>1881</v>
      </c>
      <c r="L6" s="11">
        <v>18.82</v>
      </c>
      <c r="M6" s="11"/>
      <c r="N6" s="11"/>
      <c r="O6" s="11"/>
      <c r="P6" s="11"/>
    </row>
    <row r="7" ht="14.75" spans="1:16">
      <c r="A7" s="9">
        <v>5</v>
      </c>
      <c r="B7" s="10" t="s">
        <v>89</v>
      </c>
      <c r="C7" s="11"/>
      <c r="D7" s="11"/>
      <c r="E7" s="11"/>
      <c r="F7" s="12">
        <v>0.5544</v>
      </c>
      <c r="G7" s="12">
        <v>12.6882</v>
      </c>
      <c r="H7" s="12">
        <v>41.664</v>
      </c>
      <c r="I7" s="12">
        <v>182.2263</v>
      </c>
      <c r="J7" s="12">
        <v>24449.5584</v>
      </c>
      <c r="K7" s="11">
        <v>1228</v>
      </c>
      <c r="L7" s="11">
        <v>12.287</v>
      </c>
      <c r="M7" s="11"/>
      <c r="N7" s="11"/>
      <c r="O7" s="11"/>
      <c r="P7" s="11"/>
    </row>
    <row r="8" ht="14.75" spans="1:16">
      <c r="A8" s="9">
        <v>6</v>
      </c>
      <c r="B8" s="10" t="s">
        <v>92</v>
      </c>
      <c r="C8" s="11"/>
      <c r="D8" s="11"/>
      <c r="E8" s="11"/>
      <c r="F8" s="14">
        <v>0.5445</v>
      </c>
      <c r="G8" s="12">
        <v>3.4736</v>
      </c>
      <c r="H8" s="12">
        <v>12.9336</v>
      </c>
      <c r="I8" s="12">
        <v>54.522</v>
      </c>
      <c r="J8" s="12">
        <v>4074.9264</v>
      </c>
      <c r="K8" s="11">
        <v>1157</v>
      </c>
      <c r="L8" s="11">
        <v>11.5769</v>
      </c>
      <c r="M8" s="11"/>
      <c r="N8" s="11"/>
      <c r="O8" s="11"/>
      <c r="P8" s="11"/>
    </row>
    <row r="9" ht="14.75" spans="1:16">
      <c r="A9" s="9">
        <v>7</v>
      </c>
      <c r="B9" s="10" t="s">
        <v>95</v>
      </c>
      <c r="C9" s="11"/>
      <c r="D9" s="11"/>
      <c r="E9" s="11"/>
      <c r="F9" s="11">
        <v>0.336</v>
      </c>
      <c r="G9" s="11">
        <v>5.47</v>
      </c>
      <c r="H9" s="11">
        <v>16.27</v>
      </c>
      <c r="I9" s="11">
        <v>63.94</v>
      </c>
      <c r="J9" s="11">
        <v>3773.08</v>
      </c>
      <c r="K9" s="11">
        <v>1054</v>
      </c>
      <c r="L9" s="11">
        <v>10.546</v>
      </c>
      <c r="M9" s="11"/>
      <c r="N9" s="11"/>
      <c r="O9" s="11"/>
      <c r="P9" s="11"/>
    </row>
    <row r="10" ht="15.25" spans="1:16">
      <c r="A10" s="15">
        <v>8</v>
      </c>
      <c r="B10" s="16" t="s">
        <v>98</v>
      </c>
      <c r="C10" s="11"/>
      <c r="D10" s="11"/>
      <c r="E10" s="11"/>
      <c r="F10" s="11"/>
      <c r="G10" s="11"/>
      <c r="H10" s="11"/>
      <c r="I10" s="11"/>
      <c r="J10" s="11"/>
      <c r="K10" s="11">
        <v>847</v>
      </c>
      <c r="L10" s="11">
        <v>8.475</v>
      </c>
      <c r="M10" s="11"/>
      <c r="N10" s="11"/>
      <c r="O10" s="11"/>
      <c r="P10" s="11"/>
    </row>
    <row r="11" ht="14.75" spans="1:16">
      <c r="A11" s="15">
        <v>9</v>
      </c>
      <c r="B11" s="11"/>
      <c r="C11" s="11"/>
      <c r="D11" s="11"/>
      <c r="E11" s="11"/>
      <c r="F11" s="11"/>
      <c r="G11" s="11"/>
      <c r="H11" s="11"/>
      <c r="I11" s="11"/>
      <c r="J11" s="18"/>
      <c r="K11" s="11"/>
      <c r="L11" s="11"/>
      <c r="M11" s="11"/>
      <c r="N11" s="11"/>
      <c r="O11" s="11"/>
      <c r="P11" s="11"/>
    </row>
    <row r="12" ht="14.75" spans="1:16">
      <c r="A12" s="15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14.75" spans="1:16">
      <c r="A13" s="15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14.75" spans="1:16">
      <c r="A14" s="15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14.75" spans="1:16">
      <c r="A15" s="15">
        <v>13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14.75" spans="1:16">
      <c r="A16" s="15">
        <v>14</v>
      </c>
      <c r="B16" s="11"/>
      <c r="C16" s="11"/>
      <c r="D16" s="11"/>
      <c r="E16" s="11"/>
      <c r="F16" s="11"/>
      <c r="G16" s="11"/>
      <c r="H16" s="11"/>
      <c r="I16" s="11"/>
      <c r="J16" s="18"/>
      <c r="K16" s="11"/>
      <c r="L16" s="11"/>
      <c r="M16" s="11"/>
      <c r="N16" s="11"/>
      <c r="O16" s="11"/>
      <c r="P16" s="11"/>
    </row>
    <row r="17" ht="14.75" spans="1:16">
      <c r="A17" s="15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26" spans="7:7">
      <c r="G26">
        <f>1167/9994</f>
        <v>0.116770062037222</v>
      </c>
    </row>
  </sheetData>
  <mergeCells count="12">
    <mergeCell ref="F1:J1"/>
    <mergeCell ref="A1:A2"/>
    <mergeCell ref="B1:B2"/>
    <mergeCell ref="C1:C2"/>
    <mergeCell ref="D1:D2"/>
    <mergeCell ref="E1:E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Dictionary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google1590971327</cp:lastModifiedBy>
  <dcterms:created xsi:type="dcterms:W3CDTF">2025-03-29T14:21:00Z</dcterms:created>
  <dcterms:modified xsi:type="dcterms:W3CDTF">2026-03-06T12:17:30Z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C63F4D8DC9E24DC299FE235D82A3F37E_12</vt:lpwstr>
  </property>
  <property fmtid="{D5CDD505-2E9C-101B-9397-08002B2CF9AE}" pid="3" name="KSOProductBuildVer">
    <vt:lpwstr>1033-12.2.0.23196</vt:lpwstr>
  </property>
</Properties>
</file>